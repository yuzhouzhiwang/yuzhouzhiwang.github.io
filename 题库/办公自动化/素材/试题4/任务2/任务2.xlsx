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0 办公自动化题库\技能抽查提交资料(正式版）\试题4\"/>
    </mc:Choice>
  </mc:AlternateContent>
  <bookViews>
    <workbookView xWindow="-120" yWindow="-120" windowWidth="20730" windowHeight="11160"/>
  </bookViews>
  <sheets>
    <sheet name="12月份成本表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7" i="1" l="1"/>
  <c r="H8" i="1"/>
  <c r="H9" i="1"/>
  <c r="H10" i="1"/>
  <c r="H11" i="1"/>
  <c r="H12" i="1"/>
  <c r="H13" i="1"/>
  <c r="H14" i="1"/>
  <c r="H15" i="1"/>
  <c r="H6" i="1"/>
  <c r="K7" i="1"/>
  <c r="I7" i="1" s="1"/>
  <c r="K8" i="1"/>
  <c r="I8" i="1" s="1"/>
  <c r="K9" i="1"/>
  <c r="I9" i="1" s="1"/>
  <c r="K10" i="1"/>
  <c r="I10" i="1" s="1"/>
  <c r="K11" i="1"/>
  <c r="I11" i="1" s="1"/>
  <c r="K12" i="1"/>
  <c r="I12" i="1" s="1"/>
  <c r="K13" i="1"/>
  <c r="I13" i="1" s="1"/>
  <c r="K14" i="1"/>
  <c r="I14" i="1" s="1"/>
  <c r="K15" i="1"/>
  <c r="I15" i="1" s="1"/>
  <c r="K6" i="1"/>
  <c r="I6" i="1" s="1"/>
  <c r="G7" i="1"/>
  <c r="L7" i="1" s="1"/>
  <c r="G8" i="1"/>
  <c r="G9" i="1"/>
  <c r="G10" i="1"/>
  <c r="G11" i="1"/>
  <c r="G12" i="1"/>
  <c r="G13" i="1"/>
  <c r="G14" i="1"/>
  <c r="G15" i="1"/>
  <c r="L15" i="1" s="1"/>
  <c r="G6" i="1"/>
  <c r="F7" i="1"/>
  <c r="F8" i="1"/>
  <c r="F9" i="1"/>
  <c r="F10" i="1"/>
  <c r="F11" i="1"/>
  <c r="F12" i="1"/>
  <c r="F13" i="1"/>
  <c r="F14" i="1"/>
  <c r="F15" i="1"/>
  <c r="F6" i="1"/>
  <c r="E5" i="1"/>
  <c r="L14" i="1" l="1"/>
  <c r="L10" i="1"/>
  <c r="L13" i="1"/>
  <c r="L9" i="1"/>
  <c r="G5" i="1"/>
  <c r="L12" i="1"/>
  <c r="L8" i="1"/>
  <c r="L11" i="1"/>
  <c r="I5" i="1"/>
  <c r="K5" i="1"/>
  <c r="L5" i="1" s="1"/>
  <c r="L6" i="1"/>
</calcChain>
</file>

<file path=xl/sharedStrings.xml><?xml version="1.0" encoding="utf-8"?>
<sst xmlns="http://schemas.openxmlformats.org/spreadsheetml/2006/main" count="38" uniqueCount="27">
  <si>
    <t>材料成本对比表</t>
    <phoneticPr fontId="1" type="noConversion"/>
  </si>
  <si>
    <t>日期：</t>
    <phoneticPr fontId="1" type="noConversion"/>
  </si>
  <si>
    <t>本月产量：</t>
    <phoneticPr fontId="1" type="noConversion"/>
  </si>
  <si>
    <t>名称</t>
    <phoneticPr fontId="1" type="noConversion"/>
  </si>
  <si>
    <t>单位</t>
    <phoneticPr fontId="1" type="noConversion"/>
  </si>
  <si>
    <t>单价</t>
    <phoneticPr fontId="1" type="noConversion"/>
  </si>
  <si>
    <t>按上年同期耗量计算的成本</t>
    <phoneticPr fontId="1" type="noConversion"/>
  </si>
  <si>
    <t>单位耗量</t>
    <phoneticPr fontId="1" type="noConversion"/>
  </si>
  <si>
    <t>单位成本</t>
    <phoneticPr fontId="1" type="noConversion"/>
  </si>
  <si>
    <t>总消耗量</t>
    <phoneticPr fontId="1" type="noConversion"/>
  </si>
  <si>
    <t>总成本</t>
    <phoneticPr fontId="1" type="noConversion"/>
  </si>
  <si>
    <t>本月实际成本</t>
    <phoneticPr fontId="1" type="noConversion"/>
  </si>
  <si>
    <t>成本降低率</t>
    <phoneticPr fontId="1" type="noConversion"/>
  </si>
  <si>
    <t>原材料：</t>
    <phoneticPr fontId="1" type="noConversion"/>
  </si>
  <si>
    <t>材料1</t>
    <phoneticPr fontId="1" type="noConversion"/>
  </si>
  <si>
    <t>材料2</t>
  </si>
  <si>
    <t>材料3</t>
  </si>
  <si>
    <t>材料4</t>
  </si>
  <si>
    <t>材料5</t>
  </si>
  <si>
    <t>材料6</t>
  </si>
  <si>
    <t>材料7</t>
  </si>
  <si>
    <t>材料8</t>
  </si>
  <si>
    <t>材料9</t>
  </si>
  <si>
    <t>材料10</t>
  </si>
  <si>
    <t>个</t>
    <phoneticPr fontId="1" type="noConversion"/>
  </si>
  <si>
    <t>件</t>
    <phoneticPr fontId="1" type="noConversion"/>
  </si>
  <si>
    <t>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</si>
</sst>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00_ "/>
    <numFmt numFmtId="177" formatCode="0.00_ "/>
    <numFmt numFmtId="178" formatCode="#,##0.00_ "/>
  </numFmts>
  <fonts count="5" x14ac:knownFonts="1">
    <font>
      <sz val="12"/>
      <name val="宋体"/>
      <charset val="134"/>
    </font>
    <font>
      <sz val="9"/>
      <name val="宋体"/>
      <family val="3"/>
      <charset val="134"/>
    </font>
    <font>
      <sz val="18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3" fillId="0" borderId="1" xfId="0" applyFont="1" applyBorder="1">
      <alignment vertical="center"/>
    </xf>
    <xf numFmtId="176" fontId="3" fillId="0" borderId="1" xfId="0" applyNumberFormat="1" applyFont="1" applyBorder="1">
      <alignment vertical="center"/>
    </xf>
    <xf numFmtId="4" fontId="3" fillId="0" borderId="1" xfId="0" applyNumberFormat="1" applyFont="1" applyBorder="1">
      <alignment vertical="center"/>
    </xf>
    <xf numFmtId="178" fontId="3" fillId="0" borderId="1" xfId="0" applyNumberFormat="1" applyFont="1" applyBorder="1">
      <alignment vertical="center"/>
    </xf>
    <xf numFmtId="0" fontId="3" fillId="0" borderId="0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0" fontId="4" fillId="0" borderId="5" xfId="0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3" fillId="0" borderId="5" xfId="0" applyFont="1" applyBorder="1" applyAlignment="1">
      <alignment horizontal="left" vertical="center" indent="1"/>
    </xf>
    <xf numFmtId="0" fontId="3" fillId="0" borderId="6" xfId="0" applyFont="1" applyBorder="1" applyAlignment="1">
      <alignment horizontal="left" vertical="center" indent="1"/>
    </xf>
    <xf numFmtId="4" fontId="3" fillId="0" borderId="7" xfId="0" applyNumberFormat="1" applyFont="1" applyBorder="1">
      <alignment vertical="center"/>
    </xf>
    <xf numFmtId="178" fontId="3" fillId="0" borderId="7" xfId="0" applyNumberFormat="1" applyFont="1" applyBorder="1">
      <alignment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4" fillId="0" borderId="11" xfId="0" applyFont="1" applyBorder="1" applyAlignment="1">
      <alignment horizontal="center" vertical="center"/>
    </xf>
    <xf numFmtId="176" fontId="3" fillId="0" borderId="5" xfId="0" applyNumberFormat="1" applyFont="1" applyBorder="1">
      <alignment vertical="center"/>
    </xf>
    <xf numFmtId="4" fontId="3" fillId="0" borderId="11" xfId="0" applyNumberFormat="1" applyFont="1" applyBorder="1">
      <alignment vertical="center"/>
    </xf>
    <xf numFmtId="4" fontId="3" fillId="0" borderId="12" xfId="0" applyNumberFormat="1" applyFont="1" applyBorder="1">
      <alignment vertical="center"/>
    </xf>
    <xf numFmtId="10" fontId="3" fillId="0" borderId="14" xfId="0" applyNumberFormat="1" applyFont="1" applyBorder="1">
      <alignment vertical="center"/>
    </xf>
    <xf numFmtId="10" fontId="3" fillId="0" borderId="15" xfId="0" applyNumberFormat="1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77" fontId="3" fillId="0" borderId="5" xfId="0" applyNumberFormat="1" applyFont="1" applyBorder="1">
      <alignment vertical="center"/>
    </xf>
    <xf numFmtId="177" fontId="3" fillId="0" borderId="6" xfId="0" applyNumberFormat="1" applyFont="1" applyBorder="1">
      <alignment vertical="center"/>
    </xf>
    <xf numFmtId="177" fontId="3" fillId="0" borderId="1" xfId="0" applyNumberFormat="1" applyFont="1" applyBorder="1">
      <alignment vertical="center"/>
    </xf>
    <xf numFmtId="177" fontId="3" fillId="0" borderId="7" xfId="0" applyNumberFormat="1" applyFont="1" applyBorder="1">
      <alignment vertical="center"/>
    </xf>
    <xf numFmtId="0" fontId="2" fillId="0" borderId="0" xfId="0" applyFont="1" applyBorder="1" applyAlignment="1">
      <alignment horizontal="center" vertical="center"/>
    </xf>
    <xf numFmtId="14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showGridLines="0" tabSelected="1" zoomScale="90" zoomScaleNormal="90" workbookViewId="0">
      <selection activeCell="F8" sqref="F8"/>
    </sheetView>
  </sheetViews>
  <sheetFormatPr defaultRowHeight="14.25" x14ac:dyDescent="0.15"/>
  <cols>
    <col min="1" max="1" width="9" customWidth="1"/>
    <col min="2" max="2" width="4.375" customWidth="1"/>
    <col min="3" max="3" width="5" customWidth="1"/>
    <col min="4" max="4" width="8.5" customWidth="1"/>
    <col min="5" max="5" width="10.5" bestFit="1" customWidth="1"/>
    <col min="6" max="6" width="9.5" customWidth="1"/>
    <col min="7" max="7" width="11.25" customWidth="1"/>
    <col min="8" max="8" width="8.375" customWidth="1"/>
    <col min="9" max="9" width="10.75" customWidth="1"/>
    <col min="10" max="10" width="7.625" customWidth="1"/>
    <col min="11" max="11" width="11.5" customWidth="1"/>
    <col min="12" max="12" width="9.625" customWidth="1"/>
  </cols>
  <sheetData>
    <row r="1" spans="1:12" ht="22.5" x14ac:dyDescent="0.1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 ht="15" thickBot="1" x14ac:dyDescent="0.2">
      <c r="A2" s="9" t="s">
        <v>1</v>
      </c>
      <c r="B2" s="31">
        <v>44561</v>
      </c>
      <c r="C2" s="32"/>
      <c r="D2" s="5"/>
      <c r="E2" s="5"/>
      <c r="F2" s="5"/>
      <c r="G2" s="5"/>
      <c r="H2" s="5"/>
      <c r="I2" s="5"/>
      <c r="J2" s="7" t="s">
        <v>2</v>
      </c>
      <c r="K2" s="8">
        <v>160</v>
      </c>
      <c r="L2" s="5"/>
    </row>
    <row r="3" spans="1:12" ht="15" thickTop="1" x14ac:dyDescent="0.15">
      <c r="A3" s="33" t="s">
        <v>3</v>
      </c>
      <c r="B3" s="35" t="s">
        <v>4</v>
      </c>
      <c r="C3" s="37" t="s">
        <v>5</v>
      </c>
      <c r="D3" s="33" t="s">
        <v>6</v>
      </c>
      <c r="E3" s="35"/>
      <c r="F3" s="35"/>
      <c r="G3" s="39"/>
      <c r="H3" s="33" t="s">
        <v>11</v>
      </c>
      <c r="I3" s="35"/>
      <c r="J3" s="35"/>
      <c r="K3" s="39"/>
      <c r="L3" s="40" t="s">
        <v>12</v>
      </c>
    </row>
    <row r="4" spans="1:12" x14ac:dyDescent="0.15">
      <c r="A4" s="34"/>
      <c r="B4" s="36"/>
      <c r="C4" s="38"/>
      <c r="D4" s="10" t="s">
        <v>7</v>
      </c>
      <c r="E4" s="6" t="s">
        <v>8</v>
      </c>
      <c r="F4" s="6" t="s">
        <v>9</v>
      </c>
      <c r="G4" s="18" t="s">
        <v>10</v>
      </c>
      <c r="H4" s="10" t="s">
        <v>7</v>
      </c>
      <c r="I4" s="6" t="s">
        <v>8</v>
      </c>
      <c r="J4" s="6" t="s">
        <v>9</v>
      </c>
      <c r="K4" s="18" t="s">
        <v>10</v>
      </c>
      <c r="L4" s="41"/>
    </row>
    <row r="5" spans="1:12" x14ac:dyDescent="0.15">
      <c r="A5" s="11" t="s">
        <v>13</v>
      </c>
      <c r="B5" s="1"/>
      <c r="C5" s="16"/>
      <c r="D5" s="19"/>
      <c r="E5" s="3">
        <f>SUM(E6:E15)</f>
        <v>2056.2999999999997</v>
      </c>
      <c r="F5" s="2"/>
      <c r="G5" s="20">
        <f>SUM(G6:G15)</f>
        <v>329008</v>
      </c>
      <c r="H5" s="19"/>
      <c r="I5" s="4">
        <f>SUM(I6:I15)</f>
        <v>1894.8181249999998</v>
      </c>
      <c r="J5" s="1"/>
      <c r="K5" s="20">
        <f>SUM(K6:K15)</f>
        <v>303170.90000000002</v>
      </c>
      <c r="L5" s="22">
        <f>(G5-K5)/G5</f>
        <v>7.8530309293390971E-2</v>
      </c>
    </row>
    <row r="6" spans="1:12" x14ac:dyDescent="0.15">
      <c r="A6" s="12" t="s">
        <v>14</v>
      </c>
      <c r="B6" s="24" t="s">
        <v>24</v>
      </c>
      <c r="C6" s="16">
        <v>100</v>
      </c>
      <c r="D6" s="26">
        <v>0.27</v>
      </c>
      <c r="E6" s="3">
        <v>27.038</v>
      </c>
      <c r="F6" s="28">
        <f>D6*$K$2</f>
        <v>43.2</v>
      </c>
      <c r="G6" s="20">
        <f>E6*$K$2</f>
        <v>4326.08</v>
      </c>
      <c r="H6" s="26">
        <f>J6/$K$2</f>
        <v>0.25091874999999997</v>
      </c>
      <c r="I6" s="4">
        <f>K6/$K$2</f>
        <v>25.091874999999998</v>
      </c>
      <c r="J6" s="28">
        <v>40.146999999999998</v>
      </c>
      <c r="K6" s="20">
        <f>J6*C6</f>
        <v>4014.7</v>
      </c>
      <c r="L6" s="22">
        <f t="shared" ref="L6:L15" si="0">(G6-K6)/G6</f>
        <v>7.1977402174717098E-2</v>
      </c>
    </row>
    <row r="7" spans="1:12" x14ac:dyDescent="0.15">
      <c r="A7" s="12" t="s">
        <v>15</v>
      </c>
      <c r="B7" s="24" t="s">
        <v>25</v>
      </c>
      <c r="C7" s="16">
        <v>200</v>
      </c>
      <c r="D7" s="26">
        <v>0.36</v>
      </c>
      <c r="E7" s="3">
        <v>72.147000000000006</v>
      </c>
      <c r="F7" s="28">
        <f t="shared" ref="F7:F15" si="1">D7*$K$2</f>
        <v>57.599999999999994</v>
      </c>
      <c r="G7" s="20">
        <f t="shared" ref="G7:G15" si="2">E7*$K$2</f>
        <v>11543.52</v>
      </c>
      <c r="H7" s="26">
        <f t="shared" ref="H7:H15" si="3">J7/$K$2</f>
        <v>0.31884999999999997</v>
      </c>
      <c r="I7" s="4">
        <f t="shared" ref="I7:I15" si="4">K7/$K$2</f>
        <v>63.769999999999996</v>
      </c>
      <c r="J7" s="28">
        <v>51.015999999999998</v>
      </c>
      <c r="K7" s="20">
        <f t="shared" ref="K7:K15" si="5">J7*C7</f>
        <v>10203.199999999999</v>
      </c>
      <c r="L7" s="22">
        <f t="shared" si="0"/>
        <v>0.116110163970782</v>
      </c>
    </row>
    <row r="8" spans="1:12" x14ac:dyDescent="0.15">
      <c r="A8" s="12" t="s">
        <v>16</v>
      </c>
      <c r="B8" s="24" t="s">
        <v>24</v>
      </c>
      <c r="C8" s="16">
        <v>300</v>
      </c>
      <c r="D8" s="26">
        <v>0.48</v>
      </c>
      <c r="E8" s="3">
        <v>153.02199999999999</v>
      </c>
      <c r="F8" s="28">
        <f t="shared" si="1"/>
        <v>76.8</v>
      </c>
      <c r="G8" s="20">
        <f t="shared" si="2"/>
        <v>24483.519999999997</v>
      </c>
      <c r="H8" s="26">
        <f t="shared" si="3"/>
        <v>0.43884375000000003</v>
      </c>
      <c r="I8" s="4">
        <f t="shared" si="4"/>
        <v>131.65312499999999</v>
      </c>
      <c r="J8" s="28">
        <v>70.215000000000003</v>
      </c>
      <c r="K8" s="20">
        <f t="shared" si="5"/>
        <v>21064.5</v>
      </c>
      <c r="L8" s="22">
        <f t="shared" si="0"/>
        <v>0.13964576988929686</v>
      </c>
    </row>
    <row r="9" spans="1:12" x14ac:dyDescent="0.15">
      <c r="A9" s="12" t="s">
        <v>17</v>
      </c>
      <c r="B9" s="24" t="s">
        <v>26</v>
      </c>
      <c r="C9" s="16">
        <v>800</v>
      </c>
      <c r="D9" s="26">
        <v>0.28999999999999998</v>
      </c>
      <c r="E9" s="3">
        <v>246.69099999999997</v>
      </c>
      <c r="F9" s="28">
        <f t="shared" si="1"/>
        <v>46.4</v>
      </c>
      <c r="G9" s="20">
        <f t="shared" si="2"/>
        <v>39470.559999999998</v>
      </c>
      <c r="H9" s="26">
        <f t="shared" si="3"/>
        <v>0.28091874999999999</v>
      </c>
      <c r="I9" s="4">
        <f t="shared" si="4"/>
        <v>224.73500000000004</v>
      </c>
      <c r="J9" s="28">
        <v>44.947000000000003</v>
      </c>
      <c r="K9" s="20">
        <f t="shared" si="5"/>
        <v>35957.600000000006</v>
      </c>
      <c r="L9" s="22">
        <f t="shared" si="0"/>
        <v>8.9002030880737243E-2</v>
      </c>
    </row>
    <row r="10" spans="1:12" x14ac:dyDescent="0.15">
      <c r="A10" s="12" t="s">
        <v>18</v>
      </c>
      <c r="B10" s="24" t="s">
        <v>26</v>
      </c>
      <c r="C10" s="16">
        <v>600</v>
      </c>
      <c r="D10" s="26">
        <v>1.4870000000000001</v>
      </c>
      <c r="E10" s="3">
        <v>928.34699999999998</v>
      </c>
      <c r="F10" s="28">
        <f t="shared" si="1"/>
        <v>237.92000000000002</v>
      </c>
      <c r="G10" s="20">
        <f t="shared" si="2"/>
        <v>148535.51999999999</v>
      </c>
      <c r="H10" s="26">
        <f t="shared" si="3"/>
        <v>1.427875</v>
      </c>
      <c r="I10" s="4">
        <f t="shared" si="4"/>
        <v>856.72500000000002</v>
      </c>
      <c r="J10" s="28">
        <v>228.46</v>
      </c>
      <c r="K10" s="20">
        <f t="shared" si="5"/>
        <v>137076</v>
      </c>
      <c r="L10" s="22">
        <f t="shared" si="0"/>
        <v>7.7150031184460052E-2</v>
      </c>
    </row>
    <row r="11" spans="1:12" x14ac:dyDescent="0.15">
      <c r="A11" s="12" t="s">
        <v>19</v>
      </c>
      <c r="B11" s="24" t="s">
        <v>25</v>
      </c>
      <c r="C11" s="16">
        <v>100</v>
      </c>
      <c r="D11" s="26">
        <v>4.8000000000000001E-2</v>
      </c>
      <c r="E11" s="3">
        <v>5.0270000000000001</v>
      </c>
      <c r="F11" s="28">
        <f t="shared" si="1"/>
        <v>7.68</v>
      </c>
      <c r="G11" s="20">
        <f t="shared" si="2"/>
        <v>804.32</v>
      </c>
      <c r="H11" s="26">
        <f t="shared" si="3"/>
        <v>5.1731249999999993E-2</v>
      </c>
      <c r="I11" s="4">
        <f t="shared" si="4"/>
        <v>5.1731249999999998</v>
      </c>
      <c r="J11" s="28">
        <v>8.2769999999999992</v>
      </c>
      <c r="K11" s="20">
        <f t="shared" si="5"/>
        <v>827.69999999999993</v>
      </c>
      <c r="L11" s="22">
        <f t="shared" si="0"/>
        <v>-2.9068032623831161E-2</v>
      </c>
    </row>
    <row r="12" spans="1:12" x14ac:dyDescent="0.15">
      <c r="A12" s="12" t="s">
        <v>20</v>
      </c>
      <c r="B12" s="24" t="s">
        <v>25</v>
      </c>
      <c r="C12" s="16">
        <v>300</v>
      </c>
      <c r="D12" s="26">
        <v>0.01</v>
      </c>
      <c r="E12" s="3">
        <v>2.4180000000000001</v>
      </c>
      <c r="F12" s="28">
        <f t="shared" si="1"/>
        <v>1.6</v>
      </c>
      <c r="G12" s="20">
        <f t="shared" si="2"/>
        <v>386.88</v>
      </c>
      <c r="H12" s="26">
        <f t="shared" si="3"/>
        <v>8.0062499999999995E-3</v>
      </c>
      <c r="I12" s="4">
        <f t="shared" si="4"/>
        <v>2.4018749999999995</v>
      </c>
      <c r="J12" s="28">
        <v>1.2809999999999999</v>
      </c>
      <c r="K12" s="20">
        <f t="shared" si="5"/>
        <v>384.29999999999995</v>
      </c>
      <c r="L12" s="22">
        <f t="shared" si="0"/>
        <v>6.6687344913152419E-3</v>
      </c>
    </row>
    <row r="13" spans="1:12" x14ac:dyDescent="0.15">
      <c r="A13" s="12" t="s">
        <v>21</v>
      </c>
      <c r="B13" s="24" t="s">
        <v>26</v>
      </c>
      <c r="C13" s="16">
        <v>1000</v>
      </c>
      <c r="D13" s="26">
        <v>1.8700000000000001E-2</v>
      </c>
      <c r="E13" s="3">
        <v>18.259</v>
      </c>
      <c r="F13" s="28">
        <f t="shared" si="1"/>
        <v>2.992</v>
      </c>
      <c r="G13" s="20">
        <f t="shared" si="2"/>
        <v>2921.44</v>
      </c>
      <c r="H13" s="26">
        <f t="shared" si="3"/>
        <v>1.6050000000000002E-2</v>
      </c>
      <c r="I13" s="4">
        <f t="shared" si="4"/>
        <v>16.05</v>
      </c>
      <c r="J13" s="28">
        <v>2.5680000000000001</v>
      </c>
      <c r="K13" s="20">
        <f t="shared" si="5"/>
        <v>2568</v>
      </c>
      <c r="L13" s="22">
        <f t="shared" si="0"/>
        <v>0.12098143381346187</v>
      </c>
    </row>
    <row r="14" spans="1:12" x14ac:dyDescent="0.15">
      <c r="A14" s="12" t="s">
        <v>22</v>
      </c>
      <c r="B14" s="24" t="s">
        <v>24</v>
      </c>
      <c r="C14" s="16">
        <v>1500</v>
      </c>
      <c r="D14" s="26">
        <v>0.47</v>
      </c>
      <c r="E14" s="3">
        <v>602.79600000000005</v>
      </c>
      <c r="F14" s="28">
        <f t="shared" si="1"/>
        <v>75.199999999999989</v>
      </c>
      <c r="G14" s="20">
        <f t="shared" si="2"/>
        <v>96447.360000000015</v>
      </c>
      <c r="H14" s="26">
        <f t="shared" si="3"/>
        <v>0.37921250000000001</v>
      </c>
      <c r="I14" s="4">
        <f t="shared" si="4"/>
        <v>568.81875000000002</v>
      </c>
      <c r="J14" s="28">
        <v>60.673999999999999</v>
      </c>
      <c r="K14" s="20">
        <f t="shared" si="5"/>
        <v>91011</v>
      </c>
      <c r="L14" s="22">
        <f t="shared" si="0"/>
        <v>5.6366084048334909E-2</v>
      </c>
    </row>
    <row r="15" spans="1:12" ht="15" thickBot="1" x14ac:dyDescent="0.2">
      <c r="A15" s="13" t="s">
        <v>23</v>
      </c>
      <c r="B15" s="25" t="s">
        <v>24</v>
      </c>
      <c r="C15" s="17">
        <v>300</v>
      </c>
      <c r="D15" s="27">
        <v>1.2999999999999999E-3</v>
      </c>
      <c r="E15" s="14">
        <v>0.55499999999999994</v>
      </c>
      <c r="F15" s="29">
        <f t="shared" si="1"/>
        <v>0.20799999999999999</v>
      </c>
      <c r="G15" s="21">
        <f t="shared" si="2"/>
        <v>88.799999999999983</v>
      </c>
      <c r="H15" s="27">
        <f t="shared" si="3"/>
        <v>1.33125E-3</v>
      </c>
      <c r="I15" s="15">
        <f t="shared" si="4"/>
        <v>0.39937499999999998</v>
      </c>
      <c r="J15" s="29">
        <v>0.21299999999999999</v>
      </c>
      <c r="K15" s="21">
        <f t="shared" si="5"/>
        <v>63.9</v>
      </c>
      <c r="L15" s="23">
        <f t="shared" si="0"/>
        <v>0.28040540540540526</v>
      </c>
    </row>
    <row r="16" spans="1:12" ht="15" thickTop="1" x14ac:dyDescent="0.15"/>
  </sheetData>
  <mergeCells count="8">
    <mergeCell ref="A1:L1"/>
    <mergeCell ref="B2:C2"/>
    <mergeCell ref="A3:A4"/>
    <mergeCell ref="B3:B4"/>
    <mergeCell ref="C3:C4"/>
    <mergeCell ref="D3:G3"/>
    <mergeCell ref="H3:K3"/>
    <mergeCell ref="L3:L4"/>
  </mergeCells>
  <phoneticPr fontId="1" type="noConversion"/>
  <pageMargins left="0.75" right="0.75" top="1" bottom="1" header="0.5" footer="0.5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12月份成本表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Wishday</dc:creator>
  <cp:lastModifiedBy>Administrator</cp:lastModifiedBy>
  <cp:lastPrinted>2007-09-17T06:43:23Z</cp:lastPrinted>
  <dcterms:created xsi:type="dcterms:W3CDTF">2007-09-17T05:50:25Z</dcterms:created>
  <dcterms:modified xsi:type="dcterms:W3CDTF">2022-09-10T17:34:36Z</dcterms:modified>
</cp:coreProperties>
</file>